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30" windowWidth="19815" windowHeight="9660"/>
  </bookViews>
  <sheets>
    <sheet name="Test Cases" sheetId="1" r:id="rId1"/>
    <sheet name="Execution Summary" sheetId="2" r:id="rId2"/>
    <sheet name="Evidence Log" sheetId="3" r:id="rId3"/>
  </sheets>
  <definedNames>
    <definedName name="_xlnm._FilterDatabase" localSheetId="2" hidden="1">'Evidence Log'!$A$1:$E$9</definedName>
    <definedName name="_xlnm._FilterDatabase" localSheetId="1" hidden="1">'Execution Summary'!$A$1:$B$9</definedName>
    <definedName name="_xlnm._FilterDatabase" localSheetId="0" hidden="1">'Test Cases'!$A$1:$M$22</definedName>
  </definedNames>
  <calcPr calcId="144525"/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<sst xmlns="http://schemas.openxmlformats.org/spreadsheetml/2006/main" count="343" uniqueCount="240">
  <si>
    <t>TC ID</t>
  </si>
  <si>
    <t>Module</t>
  </si>
  <si>
    <t>Test Type</t>
  </si>
  <si>
    <t>Test Scenario</t>
  </si>
  <si>
    <t>Preconditions</t>
  </si>
  <si>
    <t>Test Steps</t>
  </si>
  <si>
    <t>Test Data</t>
  </si>
  <si>
    <t>Expected Result</t>
  </si>
  <si>
    <t>Actual Result / Evidence from PDF</t>
  </si>
  <si>
    <t>Execution Status</t>
  </si>
  <si>
    <t>Pass/Fail</t>
  </si>
  <si>
    <t>Evidence Reference</t>
  </si>
  <si>
    <t>Notes / Follow-up</t>
  </si>
  <si>
    <t>REG-001</t>
  </si>
  <si>
    <t>Registration Form</t>
  </si>
  <si>
    <t>Positive</t>
  </si>
  <si>
    <t>Submit registration with valid details and valid CAPTCHA</t>
  </si>
  <si>
    <t>Registration page is open</t>
  </si>
  <si>
    <t>Enter valid values in all required fields; complete CAPTCHA; click Send</t>
  </si>
  <si>
    <t>Valid name, email, password and matching confirmation; valid CAPTCHA</t>
  </si>
  <si>
    <t>Registration is accepted and success confirmation is shown</t>
  </si>
  <si>
    <t>Screenshot shows registration form; no successful confirmation is visible in supplied screenshots.</t>
  </si>
  <si>
    <t>Not Executed</t>
  </si>
  <si>
    <t>Not Run</t>
  </si>
  <si>
    <t>PDF page 1, upper screenshot</t>
  </si>
  <si>
    <t>Requires live execution; do not infer success from filled fields.</t>
  </si>
  <si>
    <t>REG-002</t>
  </si>
  <si>
    <t>Negative</t>
  </si>
  <si>
    <t>Submit with all fields empty</t>
  </si>
  <si>
    <t>Leave all fields blank; click Send</t>
  </si>
  <si>
    <t>Blank values</t>
  </si>
  <si>
    <t>Required-field validation is shown and submission is blocked</t>
  </si>
  <si>
    <t>No empty-submit attempt is evidenced in screenshots.</t>
  </si>
  <si>
    <t>Verify each required field and validation message.</t>
  </si>
  <si>
    <t>REG-003</t>
  </si>
  <si>
    <t>Enter malformed email address</t>
  </si>
  <si>
    <t>Enter malformed email; fill other required fields; submit</t>
  </si>
  <si>
    <t>name@invalid</t>
  </si>
  <si>
    <t>Email validation appears and submission is blocked</t>
  </si>
  <si>
    <t>No malformed-email attempt is evidenced.</t>
  </si>
  <si>
    <t>PDF page 1</t>
  </si>
  <si>
    <t>Test multiple malformed formats.</t>
  </si>
  <si>
    <t>REG-004</t>
  </si>
  <si>
    <t>Enter mismatched password and confirmation</t>
  </si>
  <si>
    <t>Enter different values in password and confirmation; submit</t>
  </si>
  <si>
    <t>Password A / Password B</t>
  </si>
  <si>
    <t>Mismatch is reported; form is not accepted</t>
  </si>
  <si>
    <t>No mismatch attempt is evidenced.</t>
  </si>
  <si>
    <t>Verify message and whether values are retained.</t>
  </si>
  <si>
    <t>REG-005</t>
  </si>
  <si>
    <t>Submit with CAPTCHA missing or incorrect</t>
  </si>
  <si>
    <t>Complete required fields; omit or enter invalid CAPTCHA; click Send</t>
  </si>
  <si>
    <t>Incorrect/blank CAPTCHA</t>
  </si>
  <si>
    <t>Submission is rejected with a clear CAPTCHA error</t>
  </si>
  <si>
    <t>Lower screenshot shows a red banner stating the system was unable to verify the user.</t>
  </si>
  <si>
    <t>Screenshot Reviewed</t>
  </si>
  <si>
    <t>Fail</t>
  </si>
  <si>
    <t>PDF page 1, lower screenshot</t>
  </si>
  <si>
    <t>Failure is visible for the pictured attempt; exact CAPTCHA input/action cannot be established from screenshot.</t>
  </si>
  <si>
    <t>REG-006</t>
  </si>
  <si>
    <t>Verify field labels and form controls are visible</t>
  </si>
  <si>
    <t>Inspect form labels and controls</t>
  </si>
  <si>
    <t>N/A</t>
  </si>
  <si>
    <t>Relevant fields and Send button are visible and usable</t>
  </si>
  <si>
    <t>Screenshot shows a registration form with multiple fields, a CAPTCHA area, and Send button.</t>
  </si>
  <si>
    <t>Pass</t>
  </si>
  <si>
    <t>Visual presence only; usability not confirmed.</t>
  </si>
  <si>
    <t>STU-001</t>
  </si>
  <si>
    <t>Student Registration Form</t>
  </si>
  <si>
    <t>Submit student form with valid data</t>
  </si>
  <si>
    <t>Student registration page is open</t>
  </si>
  <si>
    <t>Enter valid name, email, gender, mobile, date, subjects/hobbies, address and location; submit</t>
  </si>
  <si>
    <t>Valid sample values as shown in screenshot</t>
  </si>
  <si>
    <t>Confirmation dialog displays submitted values</t>
  </si>
  <si>
    <t>Screenshot shows a confirmation dialog titled “Thanks for submitting the form” with submitted field/value rows.</t>
  </si>
  <si>
    <t>PDF page 6</t>
  </si>
  <si>
    <t>Confirms visible submission result for the pictured attempt only.</t>
  </si>
  <si>
    <t>STU-002</t>
  </si>
  <si>
    <t>Verify required fields accept valid entries</t>
  </si>
  <si>
    <t>Enter values in required fields and inspect validation indicators</t>
  </si>
  <si>
    <t>Values shown in screenshot</t>
  </si>
  <si>
    <t>Valid fields are accepted and no validation errors remain</t>
  </si>
  <si>
    <t>Screenshot shows green validation outlines/check marks for several populated fields.</t>
  </si>
  <si>
    <t>PDF page 5, lower screenshot</t>
  </si>
  <si>
    <t>Visual evidence only; exact values and validation rules should be rechecked live.</t>
  </si>
  <si>
    <t>STU-003</t>
  </si>
  <si>
    <t>Submit with required fields empty</t>
  </si>
  <si>
    <t>Leave required fields blank; click Submit</t>
  </si>
  <si>
    <t>Blank required values</t>
  </si>
  <si>
    <t>Required-field errors appear and confirmation dialog does not open</t>
  </si>
  <si>
    <t>No empty-submit attempt is shown.</t>
  </si>
  <si>
    <t>PDF pages 5–6</t>
  </si>
  <si>
    <t>Run live to confirm required-field rules.</t>
  </si>
  <si>
    <t>STU-004</t>
  </si>
  <si>
    <t>Enter malformed email</t>
  </si>
  <si>
    <t>Enter malformed email and attempt submission</t>
  </si>
  <si>
    <t>not-an-email</t>
  </si>
  <si>
    <t>Email validation appears; invalid form is blocked</t>
  </si>
  <si>
    <t>No malformed-email attempt is shown.</t>
  </si>
  <si>
    <t>PDF page 5</t>
  </si>
  <si>
    <t>Check both inline validation and submission behavior.</t>
  </si>
  <si>
    <t>STU-005</t>
  </si>
  <si>
    <t>Enter invalid mobile number</t>
  </si>
  <si>
    <t>Enter alphabetic/too-short mobile number and submit</t>
  </si>
  <si>
    <t>abc / 123</t>
  </si>
  <si>
    <t>Mobile validation appears and invalid submission is blocked</t>
  </si>
  <si>
    <t>No invalid-mobile attempt is shown.</t>
  </si>
  <si>
    <t>Determine expected length/format from live application.</t>
  </si>
  <si>
    <t>STU-006</t>
  </si>
  <si>
    <t>Close submission confirmation dialog</t>
  </si>
  <si>
    <t>Submission confirmation dialog is open</t>
  </si>
  <si>
    <t>Click Close</t>
  </si>
  <si>
    <t>Dialog closes and form page is visible</t>
  </si>
  <si>
    <t>Screenshot shows the confirmation dialog and a Close button, but not the result after clicking it.</t>
  </si>
  <si>
    <t>Requires live interaction.</t>
  </si>
  <si>
    <t>CART-001</t>
  </si>
  <si>
    <t>Shopping Cart</t>
  </si>
  <si>
    <t>Verify product and cart total for one item</t>
  </si>
  <si>
    <t>Shopping cart page is open</t>
  </si>
  <si>
    <t>Inspect product row, quantity and total</t>
  </si>
  <si>
    <t>Quantity 1; displayed product price £55.00</t>
  </si>
  <si>
    <t>Cart shows item, quantity 1 and correct total</t>
  </si>
  <si>
    <t>Screenshot shows one Grey Jacket, quantity 1, price £55.00 and total £55.00.</t>
  </si>
  <si>
    <t>PDF page 3, upper screenshot</t>
  </si>
  <si>
    <t>Arithmetic/display verified from screenshot only.</t>
  </si>
  <si>
    <t>CART-002</t>
  </si>
  <si>
    <t>Set product quantity to zero</t>
  </si>
  <si>
    <t>Change quantity to 0; click Update</t>
  </si>
  <si>
    <t>Quantity 0</t>
  </si>
  <si>
    <t>System prevents invalid quantity or removes item and recalculates total consistently</t>
  </si>
  <si>
    <t>Screenshot shows a quantity value of 0 in the lower cart screenshot while the displayed total remains £55.00.</t>
  </si>
  <si>
    <t>PDF page 3, lower screenshot</t>
  </si>
  <si>
    <t>Visible inconsistency: quantity 0 with total still £55.00. Reproduce live and inspect update behavior.</t>
  </si>
  <si>
    <t>CART-003</t>
  </si>
  <si>
    <t>Set product quantity to a negative number</t>
  </si>
  <si>
    <t>Enter -1 in quantity; click Update</t>
  </si>
  <si>
    <t>Quantity -1</t>
  </si>
  <si>
    <t>Negative quantity is rejected or normalized; total must not remain misleading</t>
  </si>
  <si>
    <t>Screenshot appears to show quantity -1 while total remains £55.00.</t>
  </si>
  <si>
    <t>Potential validation/calculation defect; confirm live.</t>
  </si>
  <si>
    <t>CART-004</t>
  </si>
  <si>
    <t>Proceed to checkout from a valid cart</t>
  </si>
  <si>
    <t>Cart contains a valid item and quantity</t>
  </si>
  <si>
    <t>Click Check Out</t>
  </si>
  <si>
    <t>Quantity 1</t>
  </si>
  <si>
    <t>Checkout page opens with cart summary and contact/delivery fields</t>
  </si>
  <si>
    <t>Screenshot shows checkout page with contact, delivery and order summary sections.</t>
  </si>
  <si>
    <t>PDF page 4, upper screenshot</t>
  </si>
  <si>
    <t>Navigation is evidenced by screenshot; successful click sequence is not independently verified.</t>
  </si>
  <si>
    <t>CART-005</t>
  </si>
  <si>
    <t>Attempt checkout with required contact/delivery fields empty</t>
  </si>
  <si>
    <t>Checkout page is open</t>
  </si>
  <si>
    <t>Leave required fields blank and submit/continue</t>
  </si>
  <si>
    <t>Blank email/address/name</t>
  </si>
  <si>
    <t>Checkout blocks progression and indicates required fields</t>
  </si>
  <si>
    <t>Screenshot shows checkout fields, but no empty-submit result.</t>
  </si>
  <si>
    <t>No order-submission control/result is visible in the provided image.</t>
  </si>
  <si>
    <t>CART-006</t>
  </si>
  <si>
    <t>Apply an invalid discount code</t>
  </si>
  <si>
    <t>Enter invalid discount code and click Apply</t>
  </si>
  <si>
    <t>INVALIDCODE</t>
  </si>
  <si>
    <t>Code is rejected with a clear message and totals remain correct</t>
  </si>
  <si>
    <t>Screenshot shows a Discount code field and Apply button; no invalid-code result is shown.</t>
  </si>
  <si>
    <t>Requires live execution.</t>
  </si>
  <si>
    <t>FORM-001</t>
  </si>
  <si>
    <t>ToolsQA Text Box Form</t>
  </si>
  <si>
    <t>Submit valid text-box details</t>
  </si>
  <si>
    <t>Text Box page is open</t>
  </si>
  <si>
    <t>Enter full name, email, current address and permanent address; click Submit</t>
  </si>
  <si>
    <t>Values visible in screenshot</t>
  </si>
  <si>
    <t>Submitted values are displayed below the form</t>
  </si>
  <si>
    <t>Screenshot shows submitted values displayed below the form after entry.</t>
  </si>
  <si>
    <t>PDF page 2, lower screenshot</t>
  </si>
  <si>
    <t>Visible result supports successful submission for the pictured attempt.</t>
  </si>
  <si>
    <t>FORM-002</t>
  </si>
  <si>
    <t>Enter malformed email in text box form</t>
  </si>
  <si>
    <t>Enter malformed email; fill other fields; submit</t>
  </si>
  <si>
    <t>bad-email</t>
  </si>
  <si>
    <t>Email validation appears or invalid email is handled according to form rules</t>
  </si>
  <si>
    <t>Screenshot shows an email-like value but does not demonstrate malformed-email validation.</t>
  </si>
  <si>
    <t>PDF page 2</t>
  </si>
  <si>
    <t>Confirm whether this page validates email format.</t>
  </si>
  <si>
    <t>FORM-003</t>
  </si>
  <si>
    <t>Verify current and permanent address fields retain entered text</t>
  </si>
  <si>
    <t>Enter different values in both address fields; submit</t>
  </si>
  <si>
    <t>Current: Karachi Pakistan; Permanent: Karachi Pakistan</t>
  </si>
  <si>
    <t>Both address values appear in output and are not mixed up</t>
  </si>
  <si>
    <t>Screenshot output includes Current Address and Permanent Address values.</t>
  </si>
  <si>
    <t>The pictured values appear in the output.</t>
  </si>
  <si>
    <t>Metric</t>
  </si>
  <si>
    <t>Count / Result</t>
  </si>
  <si>
    <t>Total test cases</t>
  </si>
  <si>
    <t>Pass (screenshot evidence)</t>
  </si>
  <si>
    <t>Fail (screenshot evidence)</t>
  </si>
  <si>
    <t>Execution limitation</t>
  </si>
  <si>
    <t>Only screenshots were supplied. No live application access or interactive execution was performed.</t>
  </si>
  <si>
    <t>Evidence convention</t>
  </si>
  <si>
    <t>Pass/Fail means the visible screenshot supports that check or defect observation; it is not a full live retest.</t>
  </si>
  <si>
    <t>Evidence ID</t>
  </si>
  <si>
    <t>PDF Page</t>
  </si>
  <si>
    <t>Observed Evidence</t>
  </si>
  <si>
    <t>Related Test Case(s)</t>
  </si>
  <si>
    <t>Interpretation / Limitation</t>
  </si>
  <si>
    <t>E-01</t>
  </si>
  <si>
    <t>1 upper</t>
  </si>
  <si>
    <t>Registration form with fields and Send button visible</t>
  </si>
  <si>
    <t>REG-001, REG-002, REG-003, REG-004, REG-006</t>
  </si>
  <si>
    <t>Only visual presence is shown; no successful submission outcome.</t>
  </si>
  <si>
    <t>E-02</t>
  </si>
  <si>
    <t>1 lower</t>
  </si>
  <si>
    <t>Red banner says unable to verify the user</t>
  </si>
  <si>
    <t>Supports failure of pictured attempt; cannot determine exact input/action from screenshot.</t>
  </si>
  <si>
    <t>E-03</t>
  </si>
  <si>
    <t>2 upper/lower</t>
  </si>
  <si>
    <t>Text Box form populated; output values displayed below form</t>
  </si>
  <si>
    <t>FORM-001, FORM-003</t>
  </si>
  <si>
    <t>Visible submission output.</t>
  </si>
  <si>
    <t>E-04</t>
  </si>
  <si>
    <t>3 upper</t>
  </si>
  <si>
    <t>Cart shows Grey Jacket, quantity 1, £55.00 total</t>
  </si>
  <si>
    <t>Displayed total matches one item at £55.00.</t>
  </si>
  <si>
    <t>E-05</t>
  </si>
  <si>
    <t>3 lower</t>
  </si>
  <si>
    <t>Cart screenshot appears to show quantity 0 / -1 while total remains £55.00</t>
  </si>
  <si>
    <t>CART-002, CART-003</t>
  </si>
  <si>
    <t>Potential defect; reproduce in live application before filing confirmed bug.</t>
  </si>
  <si>
    <t>E-06</t>
  </si>
  <si>
    <t>4 upper</t>
  </si>
  <si>
    <t>Checkout page with contact/delivery and discount code fields</t>
  </si>
  <si>
    <t>CART-004, CART-005, CART-006</t>
  </si>
  <si>
    <t>Page is visible; no validation or order completion outcome shown.</t>
  </si>
  <si>
    <t>E-07</t>
  </si>
  <si>
    <t>5 lower</t>
  </si>
  <si>
    <t>Student form fields show green validation indicators</t>
  </si>
  <si>
    <t>Visual validation indicators only.</t>
  </si>
  <si>
    <t>E-08</t>
  </si>
  <si>
    <t>6</t>
  </si>
  <si>
    <t>“Thanks for submitting the form” confirmation dialog lists submitted values</t>
  </si>
  <si>
    <t>STU-001, STU-006</t>
  </si>
  <si>
    <t>Submission confirmation visible; closing behavior not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</si>
</sst>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D9EAD3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4" customWidth="1"/>
    <col min="3" max="3" width="14" customWidth="1"/>
    <col min="4" max="4" width="40" customWidth="1"/>
    <col min="5" max="5" width="30" customWidth="1"/>
    <col min="6" max="6" width="48" customWidth="1"/>
    <col min="7" max="7" width="32" customWidth="1"/>
    <col min="8" max="8" width="45" customWidth="1"/>
    <col min="9" max="9" width="55" customWidth="1"/>
    <col min="10" max="10" width="20" customWidth="1"/>
    <col min="11" max="11" width="16" customWidth="1"/>
    <col min="12" max="12" width="28" customWidth="1"/>
    <col min="13" max="13" width="48" customWidth="1"/>
  </cols>
  <sheetData>
    <row r="1" spans="1:13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78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3" t="s">
        <v>23</v>
      </c>
      <c r="L2" s="2" t="s">
        <v>24</v>
      </c>
      <c r="M2" s="2" t="s">
        <v>25</v>
      </c>
    </row>
    <row r="3" spans="1:13" ht="78" customHeight="1" x14ac:dyDescent="0.25">
      <c r="A3" s="2" t="s">
        <v>26</v>
      </c>
      <c r="B3" s="2" t="s">
        <v>14</v>
      </c>
      <c r="C3" s="2" t="s">
        <v>27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3" t="s">
        <v>22</v>
      </c>
      <c r="K3" s="3" t="s">
        <v>23</v>
      </c>
      <c r="L3" s="2" t="s">
        <v>24</v>
      </c>
      <c r="M3" s="2" t="s">
        <v>33</v>
      </c>
    </row>
    <row r="4" spans="1:13" ht="78" customHeight="1" x14ac:dyDescent="0.25">
      <c r="A4" s="2" t="s">
        <v>34</v>
      </c>
      <c r="B4" s="2" t="s">
        <v>14</v>
      </c>
      <c r="C4" s="2" t="s">
        <v>27</v>
      </c>
      <c r="D4" s="2" t="s">
        <v>35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3" t="s">
        <v>22</v>
      </c>
      <c r="K4" s="3" t="s">
        <v>23</v>
      </c>
      <c r="L4" s="2" t="s">
        <v>40</v>
      </c>
      <c r="M4" s="2" t="s">
        <v>41</v>
      </c>
    </row>
    <row r="5" spans="1:13" ht="78" customHeight="1" x14ac:dyDescent="0.25">
      <c r="A5" s="2" t="s">
        <v>42</v>
      </c>
      <c r="B5" s="2" t="s">
        <v>14</v>
      </c>
      <c r="C5" s="2" t="s">
        <v>27</v>
      </c>
      <c r="D5" s="2" t="s">
        <v>43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3" t="s">
        <v>22</v>
      </c>
      <c r="K5" s="3" t="s">
        <v>23</v>
      </c>
      <c r="L5" s="2" t="s">
        <v>40</v>
      </c>
      <c r="M5" s="2" t="s">
        <v>48</v>
      </c>
    </row>
    <row r="6" spans="1:13" ht="78" customHeight="1" x14ac:dyDescent="0.25">
      <c r="A6" s="2" t="s">
        <v>49</v>
      </c>
      <c r="B6" s="2" t="s">
        <v>14</v>
      </c>
      <c r="C6" s="2" t="s">
        <v>27</v>
      </c>
      <c r="D6" s="2" t="s">
        <v>50</v>
      </c>
      <c r="E6" s="2" t="s">
        <v>17</v>
      </c>
      <c r="F6" s="2" t="s">
        <v>51</v>
      </c>
      <c r="G6" s="2" t="s">
        <v>52</v>
      </c>
      <c r="H6" s="2" t="s">
        <v>53</v>
      </c>
      <c r="I6" s="2" t="s">
        <v>54</v>
      </c>
      <c r="J6" s="4" t="s">
        <v>55</v>
      </c>
      <c r="K6" s="5" t="s">
        <v>56</v>
      </c>
      <c r="L6" s="2" t="s">
        <v>57</v>
      </c>
      <c r="M6" s="2" t="s">
        <v>58</v>
      </c>
    </row>
    <row r="7" spans="1:13" ht="78" customHeight="1" x14ac:dyDescent="0.25">
      <c r="A7" s="2" t="s">
        <v>59</v>
      </c>
      <c r="B7" s="2" t="s">
        <v>14</v>
      </c>
      <c r="C7" s="2" t="s">
        <v>15</v>
      </c>
      <c r="D7" s="2" t="s">
        <v>60</v>
      </c>
      <c r="E7" s="2" t="s">
        <v>17</v>
      </c>
      <c r="F7" s="2" t="s">
        <v>61</v>
      </c>
      <c r="G7" s="2" t="s">
        <v>62</v>
      </c>
      <c r="H7" s="2" t="s">
        <v>63</v>
      </c>
      <c r="I7" s="2" t="s">
        <v>64</v>
      </c>
      <c r="J7" s="4" t="s">
        <v>55</v>
      </c>
      <c r="K7" s="6" t="s">
        <v>65</v>
      </c>
      <c r="L7" s="2" t="s">
        <v>24</v>
      </c>
      <c r="M7" s="2" t="s">
        <v>66</v>
      </c>
    </row>
    <row r="8" spans="1:13" ht="78" customHeight="1" x14ac:dyDescent="0.25">
      <c r="A8" s="2" t="s">
        <v>67</v>
      </c>
      <c r="B8" s="2" t="s">
        <v>68</v>
      </c>
      <c r="C8" s="2" t="s">
        <v>15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4" t="s">
        <v>55</v>
      </c>
      <c r="K8" s="6" t="s">
        <v>65</v>
      </c>
      <c r="L8" s="2" t="s">
        <v>75</v>
      </c>
      <c r="M8" s="2" t="s">
        <v>76</v>
      </c>
    </row>
    <row r="9" spans="1:13" ht="78" customHeight="1" x14ac:dyDescent="0.25">
      <c r="A9" s="2" t="s">
        <v>77</v>
      </c>
      <c r="B9" s="2" t="s">
        <v>68</v>
      </c>
      <c r="C9" s="2" t="s">
        <v>15</v>
      </c>
      <c r="D9" s="2" t="s">
        <v>78</v>
      </c>
      <c r="E9" s="2" t="s">
        <v>70</v>
      </c>
      <c r="F9" s="2" t="s">
        <v>79</v>
      </c>
      <c r="G9" s="2" t="s">
        <v>80</v>
      </c>
      <c r="H9" s="2" t="s">
        <v>81</v>
      </c>
      <c r="I9" s="2" t="s">
        <v>82</v>
      </c>
      <c r="J9" s="4" t="s">
        <v>55</v>
      </c>
      <c r="K9" s="6" t="s">
        <v>65</v>
      </c>
      <c r="L9" s="2" t="s">
        <v>83</v>
      </c>
      <c r="M9" s="2" t="s">
        <v>84</v>
      </c>
    </row>
    <row r="10" spans="1:13" ht="78" customHeight="1" x14ac:dyDescent="0.25">
      <c r="A10" s="2" t="s">
        <v>85</v>
      </c>
      <c r="B10" s="2" t="s">
        <v>68</v>
      </c>
      <c r="C10" s="2" t="s">
        <v>27</v>
      </c>
      <c r="D10" s="2" t="s">
        <v>86</v>
      </c>
      <c r="E10" s="2" t="s">
        <v>70</v>
      </c>
      <c r="F10" s="2" t="s">
        <v>87</v>
      </c>
      <c r="G10" s="2" t="s">
        <v>88</v>
      </c>
      <c r="H10" s="2" t="s">
        <v>89</v>
      </c>
      <c r="I10" s="2" t="s">
        <v>90</v>
      </c>
      <c r="J10" s="3" t="s">
        <v>22</v>
      </c>
      <c r="K10" s="3" t="s">
        <v>23</v>
      </c>
      <c r="L10" s="2" t="s">
        <v>91</v>
      </c>
      <c r="M10" s="2" t="s">
        <v>92</v>
      </c>
    </row>
    <row r="11" spans="1:13" ht="78" customHeight="1" x14ac:dyDescent="0.25">
      <c r="A11" s="2" t="s">
        <v>93</v>
      </c>
      <c r="B11" s="2" t="s">
        <v>68</v>
      </c>
      <c r="C11" s="2" t="s">
        <v>27</v>
      </c>
      <c r="D11" s="2" t="s">
        <v>94</v>
      </c>
      <c r="E11" s="2" t="s">
        <v>70</v>
      </c>
      <c r="F11" s="2" t="s">
        <v>95</v>
      </c>
      <c r="G11" s="2" t="s">
        <v>96</v>
      </c>
      <c r="H11" s="2" t="s">
        <v>97</v>
      </c>
      <c r="I11" s="2" t="s">
        <v>98</v>
      </c>
      <c r="J11" s="3" t="s">
        <v>22</v>
      </c>
      <c r="K11" s="3" t="s">
        <v>23</v>
      </c>
      <c r="L11" s="2" t="s">
        <v>99</v>
      </c>
      <c r="M11" s="2" t="s">
        <v>100</v>
      </c>
    </row>
    <row r="12" spans="1:13" ht="78" customHeight="1" x14ac:dyDescent="0.25">
      <c r="A12" s="2" t="s">
        <v>101</v>
      </c>
      <c r="B12" s="2" t="s">
        <v>68</v>
      </c>
      <c r="C12" s="2" t="s">
        <v>27</v>
      </c>
      <c r="D12" s="2" t="s">
        <v>102</v>
      </c>
      <c r="E12" s="2" t="s">
        <v>70</v>
      </c>
      <c r="F12" s="2" t="s">
        <v>103</v>
      </c>
      <c r="G12" s="2" t="s">
        <v>104</v>
      </c>
      <c r="H12" s="2" t="s">
        <v>105</v>
      </c>
      <c r="I12" s="2" t="s">
        <v>106</v>
      </c>
      <c r="J12" s="3" t="s">
        <v>22</v>
      </c>
      <c r="K12" s="3" t="s">
        <v>23</v>
      </c>
      <c r="L12" s="2" t="s">
        <v>99</v>
      </c>
      <c r="M12" s="2" t="s">
        <v>107</v>
      </c>
    </row>
    <row r="13" spans="1:13" ht="78" customHeight="1" x14ac:dyDescent="0.25">
      <c r="A13" s="2" t="s">
        <v>108</v>
      </c>
      <c r="B13" s="2" t="s">
        <v>68</v>
      </c>
      <c r="C13" s="2" t="s">
        <v>15</v>
      </c>
      <c r="D13" s="2" t="s">
        <v>109</v>
      </c>
      <c r="E13" s="2" t="s">
        <v>110</v>
      </c>
      <c r="F13" s="2" t="s">
        <v>111</v>
      </c>
      <c r="G13" s="2" t="s">
        <v>62</v>
      </c>
      <c r="H13" s="2" t="s">
        <v>112</v>
      </c>
      <c r="I13" s="2" t="s">
        <v>113</v>
      </c>
      <c r="J13" s="3" t="s">
        <v>22</v>
      </c>
      <c r="K13" s="3" t="s">
        <v>23</v>
      </c>
      <c r="L13" s="2" t="s">
        <v>75</v>
      </c>
      <c r="M13" s="2" t="s">
        <v>114</v>
      </c>
    </row>
    <row r="14" spans="1:13" ht="78" customHeight="1" x14ac:dyDescent="0.25">
      <c r="A14" s="2" t="s">
        <v>115</v>
      </c>
      <c r="B14" s="2" t="s">
        <v>116</v>
      </c>
      <c r="C14" s="2" t="s">
        <v>15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121</v>
      </c>
      <c r="I14" s="2" t="s">
        <v>122</v>
      </c>
      <c r="J14" s="4" t="s">
        <v>55</v>
      </c>
      <c r="K14" s="6" t="s">
        <v>65</v>
      </c>
      <c r="L14" s="2" t="s">
        <v>123</v>
      </c>
      <c r="M14" s="2" t="s">
        <v>124</v>
      </c>
    </row>
    <row r="15" spans="1:13" ht="78" customHeight="1" x14ac:dyDescent="0.25">
      <c r="A15" s="2" t="s">
        <v>125</v>
      </c>
      <c r="B15" s="2" t="s">
        <v>116</v>
      </c>
      <c r="C15" s="2" t="s">
        <v>27</v>
      </c>
      <c r="D15" s="2" t="s">
        <v>126</v>
      </c>
      <c r="E15" s="2" t="s">
        <v>118</v>
      </c>
      <c r="F15" s="2" t="s">
        <v>127</v>
      </c>
      <c r="G15" s="2" t="s">
        <v>128</v>
      </c>
      <c r="H15" s="2" t="s">
        <v>129</v>
      </c>
      <c r="I15" s="2" t="s">
        <v>130</v>
      </c>
      <c r="J15" s="4" t="s">
        <v>55</v>
      </c>
      <c r="K15" s="5" t="s">
        <v>56</v>
      </c>
      <c r="L15" s="2" t="s">
        <v>131</v>
      </c>
      <c r="M15" s="2" t="s">
        <v>132</v>
      </c>
    </row>
    <row r="16" spans="1:13" ht="78" customHeight="1" x14ac:dyDescent="0.25">
      <c r="A16" s="2" t="s">
        <v>133</v>
      </c>
      <c r="B16" s="2" t="s">
        <v>116</v>
      </c>
      <c r="C16" s="2" t="s">
        <v>27</v>
      </c>
      <c r="D16" s="2" t="s">
        <v>134</v>
      </c>
      <c r="E16" s="2" t="s">
        <v>118</v>
      </c>
      <c r="F16" s="2" t="s">
        <v>135</v>
      </c>
      <c r="G16" s="2" t="s">
        <v>136</v>
      </c>
      <c r="H16" s="2" t="s">
        <v>137</v>
      </c>
      <c r="I16" s="2" t="s">
        <v>138</v>
      </c>
      <c r="J16" s="4" t="s">
        <v>55</v>
      </c>
      <c r="K16" s="5" t="s">
        <v>56</v>
      </c>
      <c r="L16" s="2" t="s">
        <v>131</v>
      </c>
      <c r="M16" s="2" t="s">
        <v>139</v>
      </c>
    </row>
    <row r="17" spans="1:13" ht="78" customHeight="1" x14ac:dyDescent="0.25">
      <c r="A17" s="2" t="s">
        <v>140</v>
      </c>
      <c r="B17" s="2" t="s">
        <v>116</v>
      </c>
      <c r="C17" s="2" t="s">
        <v>15</v>
      </c>
      <c r="D17" s="2" t="s">
        <v>141</v>
      </c>
      <c r="E17" s="2" t="s">
        <v>142</v>
      </c>
      <c r="F17" s="2" t="s">
        <v>143</v>
      </c>
      <c r="G17" s="2" t="s">
        <v>144</v>
      </c>
      <c r="H17" s="2" t="s">
        <v>145</v>
      </c>
      <c r="I17" s="2" t="s">
        <v>146</v>
      </c>
      <c r="J17" s="4" t="s">
        <v>55</v>
      </c>
      <c r="K17" s="6" t="s">
        <v>65</v>
      </c>
      <c r="L17" s="2" t="s">
        <v>147</v>
      </c>
      <c r="M17" s="2" t="s">
        <v>148</v>
      </c>
    </row>
    <row r="18" spans="1:13" ht="78" customHeight="1" x14ac:dyDescent="0.25">
      <c r="A18" s="2" t="s">
        <v>149</v>
      </c>
      <c r="B18" s="2" t="s">
        <v>116</v>
      </c>
      <c r="C18" s="2" t="s">
        <v>27</v>
      </c>
      <c r="D18" s="2" t="s">
        <v>150</v>
      </c>
      <c r="E18" s="2" t="s">
        <v>151</v>
      </c>
      <c r="F18" s="2" t="s">
        <v>152</v>
      </c>
      <c r="G18" s="2" t="s">
        <v>153</v>
      </c>
      <c r="H18" s="2" t="s">
        <v>154</v>
      </c>
      <c r="I18" s="2" t="s">
        <v>155</v>
      </c>
      <c r="J18" s="3" t="s">
        <v>22</v>
      </c>
      <c r="K18" s="3" t="s">
        <v>23</v>
      </c>
      <c r="L18" s="2" t="s">
        <v>147</v>
      </c>
      <c r="M18" s="2" t="s">
        <v>156</v>
      </c>
    </row>
    <row r="19" spans="1:13" ht="78" customHeight="1" x14ac:dyDescent="0.25">
      <c r="A19" s="2" t="s">
        <v>157</v>
      </c>
      <c r="B19" s="2" t="s">
        <v>116</v>
      </c>
      <c r="C19" s="2" t="s">
        <v>27</v>
      </c>
      <c r="D19" s="2" t="s">
        <v>158</v>
      </c>
      <c r="E19" s="2" t="s">
        <v>151</v>
      </c>
      <c r="F19" s="2" t="s">
        <v>159</v>
      </c>
      <c r="G19" s="2" t="s">
        <v>160</v>
      </c>
      <c r="H19" s="2" t="s">
        <v>161</v>
      </c>
      <c r="I19" s="2" t="s">
        <v>162</v>
      </c>
      <c r="J19" s="3" t="s">
        <v>22</v>
      </c>
      <c r="K19" s="3" t="s">
        <v>23</v>
      </c>
      <c r="L19" s="2" t="s">
        <v>147</v>
      </c>
      <c r="M19" s="2" t="s">
        <v>163</v>
      </c>
    </row>
    <row r="20" spans="1:13" ht="78" customHeight="1" x14ac:dyDescent="0.25">
      <c r="A20" s="2" t="s">
        <v>164</v>
      </c>
      <c r="B20" s="2" t="s">
        <v>165</v>
      </c>
      <c r="C20" s="2" t="s">
        <v>15</v>
      </c>
      <c r="D20" s="2" t="s">
        <v>166</v>
      </c>
      <c r="E20" s="2" t="s">
        <v>167</v>
      </c>
      <c r="F20" s="2" t="s">
        <v>168</v>
      </c>
      <c r="G20" s="2" t="s">
        <v>169</v>
      </c>
      <c r="H20" s="2" t="s">
        <v>170</v>
      </c>
      <c r="I20" s="2" t="s">
        <v>171</v>
      </c>
      <c r="J20" s="4" t="s">
        <v>55</v>
      </c>
      <c r="K20" s="6" t="s">
        <v>65</v>
      </c>
      <c r="L20" s="2" t="s">
        <v>172</v>
      </c>
      <c r="M20" s="2" t="s">
        <v>173</v>
      </c>
    </row>
    <row r="21" spans="1:13" ht="78" customHeight="1" x14ac:dyDescent="0.25">
      <c r="A21" s="2" t="s">
        <v>174</v>
      </c>
      <c r="B21" s="2" t="s">
        <v>165</v>
      </c>
      <c r="C21" s="2" t="s">
        <v>27</v>
      </c>
      <c r="D21" s="2" t="s">
        <v>175</v>
      </c>
      <c r="E21" s="2" t="s">
        <v>167</v>
      </c>
      <c r="F21" s="2" t="s">
        <v>176</v>
      </c>
      <c r="G21" s="2" t="s">
        <v>177</v>
      </c>
      <c r="H21" s="2" t="s">
        <v>178</v>
      </c>
      <c r="I21" s="2" t="s">
        <v>179</v>
      </c>
      <c r="J21" s="3" t="s">
        <v>22</v>
      </c>
      <c r="K21" s="3" t="s">
        <v>23</v>
      </c>
      <c r="L21" s="2" t="s">
        <v>180</v>
      </c>
      <c r="M21" s="2" t="s">
        <v>181</v>
      </c>
    </row>
    <row r="22" spans="1:13" ht="78" customHeight="1" x14ac:dyDescent="0.25">
      <c r="A22" s="2" t="s">
        <v>182</v>
      </c>
      <c r="B22" s="2" t="s">
        <v>165</v>
      </c>
      <c r="C22" s="2" t="s">
        <v>15</v>
      </c>
      <c r="D22" s="2" t="s">
        <v>183</v>
      </c>
      <c r="E22" s="2" t="s">
        <v>167</v>
      </c>
      <c r="F22" s="2" t="s">
        <v>184</v>
      </c>
      <c r="G22" s="2" t="s">
        <v>185</v>
      </c>
      <c r="H22" s="2" t="s">
        <v>186</v>
      </c>
      <c r="I22" s="2" t="s">
        <v>187</v>
      </c>
      <c r="J22" s="4" t="s">
        <v>55</v>
      </c>
      <c r="K22" s="6" t="s">
        <v>65</v>
      </c>
      <c r="L22" s="2" t="s">
        <v>172</v>
      </c>
      <c r="M22" s="2" t="s">
        <v>188</v>
      </c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4" customWidth="1"/>
  </cols>
  <sheetData>
    <row r="1" spans="1:2" ht="32.1" customHeight="1" x14ac:dyDescent="0.25">
      <c r="A1" s="1" t="s">
        <v>189</v>
      </c>
      <c r="B1" s="1" t="s">
        <v>190</v>
      </c>
    </row>
    <row r="2" spans="1:2" ht="38.1" customHeight="1" x14ac:dyDescent="0.25">
      <c r="A2" s="2" t="s">
        <v>191</v>
      </c>
      <c r="B2" s="2">
        <f>COUNTA('Test Cases'!A2:A22)</f>
        <v>21</v>
      </c>
    </row>
    <row r="3" spans="1:2" ht="38.1" customHeight="1" x14ac:dyDescent="0.25">
      <c r="A3" s="2" t="s">
        <v>55</v>
      </c>
      <c r="B3" s="2">
        <f>COUNTIF('Test Cases'!J2:J22,"Screenshot Reviewed")</f>
        <v>10</v>
      </c>
    </row>
    <row r="4" spans="1:2" ht="38.1" customHeight="1" x14ac:dyDescent="0.25">
      <c r="A4" s="2" t="s">
        <v>22</v>
      </c>
      <c r="B4" s="2">
        <f>COUNTIF('Test Cases'!J2:J22,"Not Executed")</f>
        <v>11</v>
      </c>
    </row>
    <row r="5" spans="1:2" ht="38.1" customHeight="1" x14ac:dyDescent="0.25">
      <c r="A5" s="2" t="s">
        <v>192</v>
      </c>
      <c r="B5" s="2">
        <f>COUNTIF('Test Cases'!K2:K22,"Pass")</f>
        <v>7</v>
      </c>
    </row>
    <row r="6" spans="1:2" ht="38.1" customHeight="1" x14ac:dyDescent="0.25">
      <c r="A6" s="2" t="s">
        <v>193</v>
      </c>
      <c r="B6" s="2">
        <f>COUNTIF('Test Cases'!K2:K22,"Fail")</f>
        <v>3</v>
      </c>
    </row>
    <row r="7" spans="1:2" ht="38.1" customHeight="1" x14ac:dyDescent="0.25">
      <c r="A7" s="2" t="s">
        <v>23</v>
      </c>
      <c r="B7" s="2">
        <f>COUNTIF('Test Cases'!K2:K22,"Not Run")</f>
        <v>11</v>
      </c>
    </row>
    <row r="8" spans="1:2" ht="38.1" customHeight="1" x14ac:dyDescent="0.25">
      <c r="A8" s="2" t="s">
        <v>194</v>
      </c>
      <c r="B8" s="2" t="s">
        <v>195</v>
      </c>
    </row>
    <row r="9" spans="1:2" ht="38.1" customHeight="1" x14ac:dyDescent="0.25">
      <c r="A9" s="2" t="s">
        <v>196</v>
      </c>
      <c r="B9" s="2" t="s">
        <v>197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58" customWidth="1"/>
    <col min="4" max="4" width="28" customWidth="1"/>
    <col min="5" max="5" width="62" customWidth="1"/>
  </cols>
  <sheetData>
    <row r="1" spans="1:5" ht="32.1" customHeight="1" x14ac:dyDescent="0.2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ht="54" customHeight="1" x14ac:dyDescent="0.25">
      <c r="A2" s="2" t="s">
        <v>203</v>
      </c>
      <c r="B2" s="2" t="s">
        <v>204</v>
      </c>
      <c r="C2" s="2" t="s">
        <v>205</v>
      </c>
      <c r="D2" s="2" t="s">
        <v>206</v>
      </c>
      <c r="E2" s="2" t="s">
        <v>207</v>
      </c>
    </row>
    <row r="3" spans="1:5" ht="54" customHeight="1" x14ac:dyDescent="0.25">
      <c r="A3" s="2" t="s">
        <v>208</v>
      </c>
      <c r="B3" s="2" t="s">
        <v>209</v>
      </c>
      <c r="C3" s="2" t="s">
        <v>210</v>
      </c>
      <c r="D3" s="2" t="s">
        <v>49</v>
      </c>
      <c r="E3" s="2" t="s">
        <v>211</v>
      </c>
    </row>
    <row r="4" spans="1:5" ht="54" customHeight="1" x14ac:dyDescent="0.25">
      <c r="A4" s="2" t="s">
        <v>212</v>
      </c>
      <c r="B4" s="2" t="s">
        <v>213</v>
      </c>
      <c r="C4" s="2" t="s">
        <v>214</v>
      </c>
      <c r="D4" s="2" t="s">
        <v>215</v>
      </c>
      <c r="E4" s="2" t="s">
        <v>216</v>
      </c>
    </row>
    <row r="5" spans="1:5" ht="54" customHeight="1" x14ac:dyDescent="0.25">
      <c r="A5" s="2" t="s">
        <v>217</v>
      </c>
      <c r="B5" s="2" t="s">
        <v>218</v>
      </c>
      <c r="C5" s="2" t="s">
        <v>219</v>
      </c>
      <c r="D5" s="2" t="s">
        <v>115</v>
      </c>
      <c r="E5" s="2" t="s">
        <v>220</v>
      </c>
    </row>
    <row r="6" spans="1:5" ht="54" customHeight="1" x14ac:dyDescent="0.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</row>
    <row r="7" spans="1:5" ht="54" customHeight="1" x14ac:dyDescent="0.25">
      <c r="A7" s="2" t="s">
        <v>226</v>
      </c>
      <c r="B7" s="2" t="s">
        <v>227</v>
      </c>
      <c r="C7" s="2" t="s">
        <v>228</v>
      </c>
      <c r="D7" s="2" t="s">
        <v>229</v>
      </c>
      <c r="E7" s="2" t="s">
        <v>230</v>
      </c>
    </row>
    <row r="8" spans="1:5" ht="54" customHeight="1" x14ac:dyDescent="0.25">
      <c r="A8" s="2" t="s">
        <v>231</v>
      </c>
      <c r="B8" s="2" t="s">
        <v>232</v>
      </c>
      <c r="C8" s="2" t="s">
        <v>233</v>
      </c>
      <c r="D8" s="2" t="s">
        <v>77</v>
      </c>
      <c r="E8" s="2" t="s">
        <v>234</v>
      </c>
    </row>
    <row r="9" spans="1:5" ht="54" customHeight="1" x14ac:dyDescent="0.25">
      <c r="A9" s="2" t="s">
        <v>235</v>
      </c>
      <c r="B9" s="2" t="s">
        <v>236</v>
      </c>
      <c r="C9" s="2" t="s">
        <v>237</v>
      </c>
      <c r="D9" s="2" t="s">
        <v>238</v>
      </c>
      <c r="E9" s="2" t="s">
        <v>239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Execution Summary</vt:lpstr>
      <vt:lpstr>Evidence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moiz</cp:lastModifiedBy>
  <dcterms:created xsi:type="dcterms:W3CDTF">2026-10-15T14:31:51Z</dcterms:created>
  <dcterms:modified xsi:type="dcterms:W3CDTF">2026-10-15T14:36:40Z</dcterms:modified>
</cp:coreProperties>
</file>